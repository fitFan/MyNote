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Notes\MyNote\经验之谈\"/>
    </mc:Choice>
  </mc:AlternateContent>
  <xr:revisionPtr revIDLastSave="0" documentId="13_ncr:1_{40080648-8E3A-44BA-B184-704A78C486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E5" i="1"/>
  <c r="G5" i="1" s="1"/>
  <c r="D3" i="1"/>
  <c r="D1" i="1"/>
  <c r="H1" i="1" s="1"/>
  <c r="H4" i="1"/>
  <c r="I9" i="1"/>
  <c r="H3" i="1"/>
  <c r="F3" i="1"/>
  <c r="C9" i="1"/>
  <c r="H8" i="1"/>
  <c r="E8" i="1"/>
  <c r="G8" i="1" s="1"/>
  <c r="F8" i="1"/>
  <c r="B9" i="1"/>
  <c r="H6" i="1"/>
  <c r="H7" i="1"/>
  <c r="H2" i="1"/>
  <c r="F6" i="1"/>
  <c r="F7" i="1"/>
  <c r="G2" i="1"/>
  <c r="F2" i="1"/>
  <c r="E6" i="1"/>
  <c r="G6" i="1" s="1"/>
  <c r="E7" i="1"/>
  <c r="G7" i="1" s="1"/>
  <c r="E2" i="1"/>
  <c r="E3" i="1" l="1"/>
  <c r="G3" i="1" s="1"/>
  <c r="F4" i="1"/>
  <c r="E4" i="1"/>
  <c r="G4" i="1" s="1"/>
  <c r="D9" i="1"/>
  <c r="F9" i="1" s="1"/>
  <c r="E1" i="1"/>
  <c r="G1" i="1" s="1"/>
  <c r="F1" i="1"/>
  <c r="H5" i="1"/>
  <c r="F5" i="1"/>
  <c r="E9" i="1" l="1"/>
  <c r="G9" i="1" s="1"/>
  <c r="H9" i="1"/>
</calcChain>
</file>

<file path=xl/sharedStrings.xml><?xml version="1.0" encoding="utf-8"?>
<sst xmlns="http://schemas.openxmlformats.org/spreadsheetml/2006/main" count="8" uniqueCount="8">
  <si>
    <t>jiu</t>
    <phoneticPr fontId="1" type="noConversion"/>
  </si>
  <si>
    <t>hengke</t>
    <phoneticPr fontId="1" type="noConversion"/>
  </si>
  <si>
    <t>quanshang</t>
    <phoneticPr fontId="1" type="noConversion"/>
  </si>
  <si>
    <t>ai</t>
    <phoneticPr fontId="1" type="noConversion"/>
  </si>
  <si>
    <t>jiqiren</t>
    <phoneticPr fontId="1" type="noConversion"/>
  </si>
  <si>
    <t>kechuang50</t>
    <phoneticPr fontId="1" type="noConversion"/>
  </si>
  <si>
    <t>bandaoti</t>
    <phoneticPr fontId="1" type="noConversion"/>
  </si>
  <si>
    <t>jinrongkeji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</si>
</sst>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  <font>
      <sz val="11"/>
      <color rgb="FFFF0000"/>
      <name val="Microsoft YaHei"/>
      <family val="2"/>
      <charset val="134"/>
    </font>
    <font>
      <sz val="1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76" fontId="2" fillId="0" borderId="0" xfId="0" applyNumberFormat="1" applyFont="1"/>
    <xf numFmtId="17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J17" sqref="J17"/>
    </sheetView>
  </sheetViews>
  <sheetFormatPr defaultRowHeight="15.75" x14ac:dyDescent="0.25"/>
  <cols>
    <col min="1" max="2" width="14.140625" customWidth="1"/>
    <col min="3" max="5" width="9.85546875" bestFit="1" customWidth="1"/>
  </cols>
  <sheetData>
    <row r="1" spans="1:9" ht="16.5" x14ac:dyDescent="0.3">
      <c r="A1" s="5" t="s">
        <v>6</v>
      </c>
      <c r="B1" s="2">
        <v>15</v>
      </c>
      <c r="C1" s="3">
        <v>10500</v>
      </c>
      <c r="D1" s="3">
        <f>0</f>
        <v>0</v>
      </c>
      <c r="E1" s="3">
        <f>C1-D1</f>
        <v>10500</v>
      </c>
      <c r="F1">
        <f>D1/C1</f>
        <v>0</v>
      </c>
      <c r="G1">
        <f>E1/C1</f>
        <v>1</v>
      </c>
      <c r="H1">
        <f>D1/70000</f>
        <v>0</v>
      </c>
    </row>
    <row r="2" spans="1:9" ht="16.5" x14ac:dyDescent="0.3">
      <c r="A2" s="1" t="s">
        <v>5</v>
      </c>
      <c r="B2" s="2">
        <v>15</v>
      </c>
      <c r="C2" s="3">
        <v>10500</v>
      </c>
      <c r="D2" s="3">
        <v>9228.35</v>
      </c>
      <c r="E2" s="3">
        <f t="shared" ref="E2" si="0">C2-D2</f>
        <v>1271.6499999999996</v>
      </c>
      <c r="F2">
        <f>D2/C2</f>
        <v>0.87889047619047622</v>
      </c>
      <c r="G2">
        <f>E2/C2</f>
        <v>0.12110952380952378</v>
      </c>
      <c r="H2">
        <f t="shared" ref="H2" si="1">D2/70000</f>
        <v>0.13183357142857144</v>
      </c>
    </row>
    <row r="3" spans="1:9" ht="16.5" x14ac:dyDescent="0.3">
      <c r="A3" s="4" t="s">
        <v>1</v>
      </c>
      <c r="B3" s="2">
        <v>15</v>
      </c>
      <c r="C3" s="3">
        <v>10500</v>
      </c>
      <c r="D3" s="3">
        <f>1068.2+1051.4+1057+1034.4+1026.2+1019.2+4004</f>
        <v>10260.4</v>
      </c>
      <c r="E3" s="3">
        <f t="shared" ref="E3:E8" si="2">C3-D3</f>
        <v>239.60000000000036</v>
      </c>
      <c r="F3">
        <f t="shared" ref="F3" si="3">D3/C3</f>
        <v>0.97718095238095237</v>
      </c>
      <c r="G3">
        <f t="shared" ref="G3" si="4">E3/C3</f>
        <v>2.2819047619047652E-2</v>
      </c>
      <c r="H3">
        <f t="shared" ref="H3:H8" si="5">D3/70000</f>
        <v>0.14657714285714285</v>
      </c>
    </row>
    <row r="4" spans="1:9" ht="16.5" x14ac:dyDescent="0.3">
      <c r="A4" s="4" t="s">
        <v>4</v>
      </c>
      <c r="B4" s="2">
        <v>15</v>
      </c>
      <c r="C4" s="3">
        <v>10500</v>
      </c>
      <c r="D4" s="3">
        <f>0</f>
        <v>0</v>
      </c>
      <c r="E4" s="3">
        <f t="shared" si="2"/>
        <v>10500</v>
      </c>
      <c r="F4">
        <f t="shared" ref="F4:F9" si="6">D4/C4</f>
        <v>0</v>
      </c>
      <c r="G4">
        <f t="shared" ref="G4:G9" si="7">E4/C4</f>
        <v>1</v>
      </c>
      <c r="H4">
        <f t="shared" si="5"/>
        <v>0</v>
      </c>
    </row>
    <row r="5" spans="1:9" ht="16.5" x14ac:dyDescent="0.3">
      <c r="A5" s="4" t="s">
        <v>0</v>
      </c>
      <c r="B5" s="2">
        <v>15</v>
      </c>
      <c r="C5" s="3">
        <v>10500</v>
      </c>
      <c r="D5" s="3">
        <f>6149.94</f>
        <v>6149.94</v>
      </c>
      <c r="E5" s="3">
        <f t="shared" si="2"/>
        <v>4350.0600000000004</v>
      </c>
      <c r="F5">
        <f t="shared" si="6"/>
        <v>0.58570857142857136</v>
      </c>
      <c r="G5">
        <f t="shared" si="7"/>
        <v>0.41429142857142859</v>
      </c>
      <c r="H5">
        <f t="shared" si="5"/>
        <v>8.7856285714285706E-2</v>
      </c>
    </row>
    <row r="6" spans="1:9" ht="16.5" x14ac:dyDescent="0.3">
      <c r="A6" s="1" t="s">
        <v>2</v>
      </c>
      <c r="B6" s="2">
        <v>0</v>
      </c>
      <c r="C6" s="3">
        <v>7000</v>
      </c>
      <c r="D6" s="3">
        <v>0</v>
      </c>
      <c r="E6" s="3">
        <f t="shared" si="2"/>
        <v>7000</v>
      </c>
      <c r="F6">
        <f t="shared" si="6"/>
        <v>0</v>
      </c>
      <c r="G6">
        <f t="shared" si="7"/>
        <v>1</v>
      </c>
      <c r="H6">
        <f t="shared" si="5"/>
        <v>0</v>
      </c>
    </row>
    <row r="7" spans="1:9" ht="16.5" x14ac:dyDescent="0.3">
      <c r="A7" s="1" t="s">
        <v>3</v>
      </c>
      <c r="B7" s="2">
        <v>0</v>
      </c>
      <c r="C7" s="3">
        <v>0</v>
      </c>
      <c r="D7" s="3"/>
      <c r="E7" s="3">
        <f t="shared" si="2"/>
        <v>0</v>
      </c>
      <c r="F7" t="e">
        <f t="shared" si="6"/>
        <v>#DIV/0!</v>
      </c>
      <c r="G7" t="e">
        <f t="shared" si="7"/>
        <v>#DIV/0!</v>
      </c>
      <c r="H7">
        <f t="shared" si="5"/>
        <v>0</v>
      </c>
    </row>
    <row r="8" spans="1:9" ht="16.5" x14ac:dyDescent="0.3">
      <c r="A8" s="1" t="s">
        <v>7</v>
      </c>
      <c r="B8" s="2">
        <v>5</v>
      </c>
      <c r="C8" s="3">
        <v>3500</v>
      </c>
      <c r="D8" s="3">
        <v>0</v>
      </c>
      <c r="E8" s="3">
        <f t="shared" si="2"/>
        <v>3500</v>
      </c>
      <c r="F8">
        <f t="shared" si="6"/>
        <v>0</v>
      </c>
      <c r="G8">
        <f t="shared" si="7"/>
        <v>1</v>
      </c>
      <c r="H8">
        <f t="shared" si="5"/>
        <v>0</v>
      </c>
    </row>
    <row r="9" spans="1:9" ht="16.5" x14ac:dyDescent="0.3">
      <c r="A9" s="1"/>
      <c r="B9" s="2">
        <f>SUM(B1:B8)</f>
        <v>80</v>
      </c>
      <c r="C9" s="3">
        <f>SUM(C1:C8)</f>
        <v>63000</v>
      </c>
      <c r="D9" s="3">
        <f>SUM(D1:D8)</f>
        <v>25638.69</v>
      </c>
      <c r="E9" s="3">
        <f t="shared" ref="E9" si="8">C9-D9</f>
        <v>37361.31</v>
      </c>
      <c r="F9">
        <f t="shared" si="6"/>
        <v>0.40696333333333329</v>
      </c>
      <c r="G9">
        <f t="shared" si="7"/>
        <v>0.59303666666666666</v>
      </c>
      <c r="H9">
        <f t="shared" ref="H9" si="9">D9/70000</f>
        <v>0.36626699999999995</v>
      </c>
      <c r="I9">
        <f>7*0.85</f>
        <v>5.95</v>
      </c>
    </row>
    <row r="11" spans="1:9" ht="16.5" x14ac:dyDescent="0.3">
      <c r="A11" s="1"/>
      <c r="B11" s="1"/>
    </row>
    <row r="12" spans="1:9" ht="16.5" x14ac:dyDescent="0.3">
      <c r="A12" s="1"/>
      <c r="B12" s="1"/>
    </row>
    <row r="13" spans="1:9" ht="16.5" x14ac:dyDescent="0.3">
      <c r="A13" s="1"/>
      <c r="B13" s="1"/>
    </row>
    <row r="14" spans="1:9" ht="16.5" x14ac:dyDescent="0.3">
      <c r="A14" s="1"/>
      <c r="B14" s="1"/>
    </row>
    <row r="15" spans="1:9" ht="16.5" x14ac:dyDescent="0.3">
      <c r="A15" s="1"/>
      <c r="B1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鄒家平</dc:creator>
  <cp:lastModifiedBy>Jia-Ping Zou (鄒家平)</cp:lastModifiedBy>
  <dcterms:created xsi:type="dcterms:W3CDTF">2015-06-05T18:19:34Z</dcterms:created>
  <dcterms:modified xsi:type="dcterms:W3CDTF">2025-10-25T06:49:45Z</dcterms:modified>
</cp:coreProperties>
</file>